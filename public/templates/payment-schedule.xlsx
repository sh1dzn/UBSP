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816ddd4e4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раметры" sheetId="1" r:id="R8921aeaa9c5d4b27"/>
    <x:sheet xmlns:r="http://schemas.openxmlformats.org/officeDocument/2006/relationships" name="График" sheetId="2" r:id="R9b84ab9c539449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0000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A22"/>
      </x:patternFill>
    </x:fill>
    <x:fill>
      <x:patternFill patternType="solid">
        <x:fgColor rgb="FFFFF4CC"/>
      </x:patternFill>
    </x:fill>
    <x:fill>
      <x:patternFill patternType="solid">
        <x:fgColor rgb="FF19627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36a326306405b" /><Relationship Type="http://schemas.openxmlformats.org/officeDocument/2006/relationships/theme" Target="/xl/theme/theme1.xml" Id="R34e622bd650a425f" /><Relationship Type="http://schemas.openxmlformats.org/officeDocument/2006/relationships/sharedStrings" Target="/xl/sharedStrings.xml" Id="R767b71982da54b32" /><Relationship Type="http://schemas.openxmlformats.org/officeDocument/2006/relationships/worksheet" Target="/xl/worksheets/sheet1.xml" Id="R8921aeaa9c5d4b27" /><Relationship Type="http://schemas.openxmlformats.org/officeDocument/2006/relationships/worksheet" Target="/xl/worksheets/sheet2.xml" Id="R9b84ab9c539449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>
      <x:c r="A1" s="2" t="str">
        <x:v>ПАРАМЕТРЫ ФИНАНСИРОВАНИЯ</x:v>
      </x:c>
      <x:c r="B1" s="2"/>
    </x:row>
    <x:row r="3">
      <x:c r="A3" t="str">
        <x:v>Сумма, ₸</x:v>
      </x:c>
      <x:c r="B3" s="5" t="n">
        <x:v>20000000</x:v>
      </x:c>
    </x:row>
    <x:row r="4">
      <x:c r="A4" t="str">
        <x:v>Ставка годовых</x:v>
      </x:c>
      <x:c r="B4" s="7" t="n">
        <x:v>0.12</x:v>
      </x:c>
    </x:row>
    <x:row r="5">
      <x:c r="A5" t="str">
        <x:v>Срок, месяцев</x:v>
      </x:c>
      <x:c r="B5" s="5" t="n">
        <x:v>36</x:v>
      </x:c>
    </x:row>
    <x:row r="6">
      <x:c r="A6" t="str">
        <x:v>Ежемесячный платёж</x:v>
      </x:c>
      <x:c r="B6" s="6" t="n">
        <x:f>-PMT(B4/12,B5,B3)</x:f>
        <x:v>664286.1962570238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440000057220459" hidden="0" customWidth="1"/>
    <x:col min="2" max="2" width="16.670000076293945" hidden="0" customWidth="1"/>
    <x:col min="3" max="3" width="8.220000267028809" hidden="0" customWidth="1"/>
    <x:col min="4" max="4" width="10" hidden="0" customWidth="1"/>
    <x:col min="5" max="5" width="13.890000343322754" hidden="0" customWidth="1"/>
  </x:cols>
  <x:sheetData>
    <x:row r="1">
      <x:c r="A1" s="9" t="str">
        <x:v>Месяц</x:v>
      </x:c>
      <x:c r="B1" s="9" t="str">
        <x:v>Остаток на начало, ₸</x:v>
      </x:c>
      <x:c r="C1" s="9" t="str">
        <x:v>Платёж, ₸</x:v>
      </x:c>
      <x:c r="D1" s="9" t="str">
        <x:v>Проценты, ₸</x:v>
      </x:c>
      <x:c r="E1" s="9" t="str">
        <x:v>Основной долг, ₸</x:v>
      </x:c>
    </x:row>
    <x:row r="2">
      <x:c r="A2" t="n">
        <x:v>1</x:v>
      </x:c>
      <x:c r="B2" s="6" t="n">
        <x:f>'Параметры'!$B$3</x:f>
        <x:v>20000000</x:v>
      </x:c>
      <x:c r="C2" s="6" t="n">
        <x:f>'Параметры'!$B$6</x:f>
        <x:v>664286.1962570238</x:v>
      </x:c>
      <x:c r="D2" s="6" t="n">
        <x:f>B2*'Параметры'!$B$4/12</x:f>
        <x:v>200000</x:v>
      </x:c>
      <x:c r="E2" s="6" t="n">
        <x:f>C2-D2</x:f>
        <x:v>464286.19625702384</x:v>
      </x:c>
    </x:row>
    <x:row r="3">
      <x:c r="A3" t="n">
        <x:v>2</x:v>
      </x:c>
      <x:c r="B3" s="6" t="n">
        <x:f>MAX(0,B2-E2)</x:f>
        <x:v>19535713.803742975</x:v>
      </x:c>
      <x:c r="C3" s="6" t="n">
        <x:f>'Параметры'!$B$6</x:f>
        <x:v>664286.1962570238</x:v>
      </x:c>
      <x:c r="D3" s="6" t="n">
        <x:f>B3*'Параметры'!$B$4/12</x:f>
        <x:v>195357.13803742974</x:v>
      </x:c>
      <x:c r="E3" s="6" t="n">
        <x:f>C3-D3</x:f>
        <x:v>468929.05821959407</x:v>
      </x:c>
    </x:row>
    <x:row r="4">
      <x:c r="A4" t="n">
        <x:v>3</x:v>
      </x:c>
      <x:c r="B4" s="6" t="n">
        <x:f>MAX(0,B3-E3)</x:f>
        <x:v>19066784.745523382</x:v>
      </x:c>
      <x:c r="C4" s="6" t="n">
        <x:f>'Параметры'!$B$6</x:f>
        <x:v>664286.1962570238</x:v>
      </x:c>
      <x:c r="D4" s="6" t="n">
        <x:f>B4*'Параметры'!$B$4/12</x:f>
        <x:v>190667.8474552338</x:v>
      </x:c>
      <x:c r="E4" s="6" t="n">
        <x:f>C4-D4</x:f>
        <x:v>473618.34880179004</x:v>
      </x:c>
    </x:row>
    <x:row r="5">
      <x:c r="A5" t="n">
        <x:v>4</x:v>
      </x:c>
      <x:c r="B5" s="6" t="n">
        <x:f>MAX(0,B4-E4)</x:f>
        <x:v>18593166.39672159</x:v>
      </x:c>
      <x:c r="C5" s="6" t="n">
        <x:f>'Параметры'!$B$6</x:f>
        <x:v>664286.1962570238</x:v>
      </x:c>
      <x:c r="D5" s="6" t="n">
        <x:f>B5*'Параметры'!$B$4/12</x:f>
        <x:v>185931.6639672159</x:v>
      </x:c>
      <x:c r="E5" s="6" t="n">
        <x:f>C5-D5</x:f>
        <x:v>478354.5322898079</x:v>
      </x:c>
    </x:row>
    <x:row r="6">
      <x:c r="A6" t="n">
        <x:v>5</x:v>
      </x:c>
      <x:c r="B6" s="6" t="n">
        <x:f>MAX(0,B5-E5)</x:f>
        <x:v>18114811.864431784</x:v>
      </x:c>
      <x:c r="C6" s="6" t="n">
        <x:f>'Параметры'!$B$6</x:f>
        <x:v>664286.1962570238</x:v>
      </x:c>
      <x:c r="D6" s="6" t="n">
        <x:f>B6*'Параметры'!$B$4/12</x:f>
        <x:v>181148.11864431784</x:v>
      </x:c>
      <x:c r="E6" s="6" t="n">
        <x:f>C6-D6</x:f>
        <x:v>483138.077612706</x:v>
      </x:c>
    </x:row>
    <x:row r="7">
      <x:c r="A7" t="n">
        <x:v>6</x:v>
      </x:c>
      <x:c r="B7" s="6" t="n">
        <x:f>MAX(0,B6-E6)</x:f>
        <x:v>17631673.786819078</x:v>
      </x:c>
      <x:c r="C7" s="6" t="n">
        <x:f>'Параметры'!$B$6</x:f>
        <x:v>664286.1962570238</x:v>
      </x:c>
      <x:c r="D7" s="6" t="n">
        <x:f>B7*'Параметры'!$B$4/12</x:f>
        <x:v>176316.73786819077</x:v>
      </x:c>
      <x:c r="E7" s="6" t="n">
        <x:f>C7-D7</x:f>
        <x:v>487969.4583888331</x:v>
      </x:c>
    </x:row>
    <x:row r="8">
      <x:c r="A8" t="n">
        <x:v>7</x:v>
      </x:c>
      <x:c r="B8" s="6" t="n">
        <x:f>MAX(0,B7-E7)</x:f>
        <x:v>17143704.328430247</x:v>
      </x:c>
      <x:c r="C8" s="6" t="n">
        <x:f>'Параметры'!$B$6</x:f>
        <x:v>664286.1962570238</x:v>
      </x:c>
      <x:c r="D8" s="6" t="n">
        <x:f>B8*'Параметры'!$B$4/12</x:f>
        <x:v>171437.04328430246</x:v>
      </x:c>
      <x:c r="E8" s="6" t="n">
        <x:f>C8-D8</x:f>
        <x:v>492849.1529727214</x:v>
      </x:c>
    </x:row>
    <x:row r="9">
      <x:c r="A9" t="n">
        <x:v>8</x:v>
      </x:c>
      <x:c r="B9" s="6" t="n">
        <x:f>MAX(0,B8-E8)</x:f>
        <x:v>16650855.175457526</x:v>
      </x:c>
      <x:c r="C9" s="6" t="n">
        <x:f>'Параметры'!$B$6</x:f>
        <x:v>664286.1962570238</x:v>
      </x:c>
      <x:c r="D9" s="6" t="n">
        <x:f>B9*'Параметры'!$B$4/12</x:f>
        <x:v>166508.55175457525</x:v>
      </x:c>
      <x:c r="E9" s="6" t="n">
        <x:f>C9-D9</x:f>
        <x:v>497777.6445024486</x:v>
      </x:c>
    </x:row>
    <x:row r="10">
      <x:c r="A10" t="n">
        <x:v>9</x:v>
      </x:c>
      <x:c r="B10" s="6" t="n">
        <x:f>MAX(0,B9-E9)</x:f>
        <x:v>16153077.530955078</x:v>
      </x:c>
      <x:c r="C10" s="6" t="n">
        <x:f>'Параметры'!$B$6</x:f>
        <x:v>664286.1962570238</x:v>
      </x:c>
      <x:c r="D10" s="6" t="n">
        <x:f>B10*'Параметры'!$B$4/12</x:f>
        <x:v>161530.77530955078</x:v>
      </x:c>
      <x:c r="E10" s="6" t="n">
        <x:f>C10-D10</x:f>
        <x:v>502755.42094747303</x:v>
      </x:c>
    </x:row>
    <x:row r="11">
      <x:c r="A11" t="n">
        <x:v>10</x:v>
      </x:c>
      <x:c r="B11" s="6" t="n">
        <x:f>MAX(0,B10-E10)</x:f>
        <x:v>15650322.110007605</x:v>
      </x:c>
      <x:c r="C11" s="6" t="n">
        <x:f>'Параметры'!$B$6</x:f>
        <x:v>664286.1962570238</x:v>
      </x:c>
      <x:c r="D11" s="6" t="n">
        <x:f>B11*'Параметры'!$B$4/12</x:f>
        <x:v>156503.22110007604</x:v>
      </x:c>
      <x:c r="E11" s="6" t="n">
        <x:f>C11-D11</x:f>
        <x:v>507782.9751569478</x:v>
      </x:c>
    </x:row>
    <x:row r="12">
      <x:c r="A12" t="n">
        <x:v>11</x:v>
      </x:c>
      <x:c r="B12" s="6" t="n">
        <x:f>MAX(0,B11-E11)</x:f>
        <x:v>15142539.134850657</x:v>
      </x:c>
      <x:c r="C12" s="6" t="n">
        <x:f>'Параметры'!$B$6</x:f>
        <x:v>664286.1962570238</x:v>
      </x:c>
      <x:c r="D12" s="6" t="n">
        <x:f>B12*'Параметры'!$B$4/12</x:f>
        <x:v>151425.39134850656</x:v>
      </x:c>
      <x:c r="E12" s="6" t="n">
        <x:f>C12-D12</x:f>
        <x:v>512860.8049085173</x:v>
      </x:c>
    </x:row>
    <x:row r="13">
      <x:c r="A13" t="n">
        <x:v>12</x:v>
      </x:c>
      <x:c r="B13" s="6" t="n">
        <x:f>MAX(0,B12-E12)</x:f>
        <x:v>14629678.329942139</x:v>
      </x:c>
      <x:c r="C13" s="6" t="n">
        <x:f>'Параметры'!$B$6</x:f>
        <x:v>664286.1962570238</x:v>
      </x:c>
      <x:c r="D13" s="6" t="n">
        <x:f>B13*'Параметры'!$B$4/12</x:f>
        <x:v>146296.7832994214</x:v>
      </x:c>
      <x:c r="E13" s="6" t="n">
        <x:f>C13-D13</x:f>
        <x:v>517989.4129576024</x:v>
      </x:c>
    </x:row>
    <x:row r="14">
      <x:c r="A14" t="n">
        <x:v>13</x:v>
      </x:c>
      <x:c r="B14" s="6" t="n">
        <x:f>MAX(0,B13-E13)</x:f>
        <x:v>14111688.916984536</x:v>
      </x:c>
      <x:c r="C14" s="6" t="n">
        <x:f>'Параметры'!$B$6</x:f>
        <x:v>664286.1962570238</x:v>
      </x:c>
      <x:c r="D14" s="6" t="n">
        <x:f>B14*'Параметры'!$B$4/12</x:f>
        <x:v>141116.88916984535</x:v>
      </x:c>
      <x:c r="E14" s="6" t="n">
        <x:f>C14-D14</x:f>
        <x:v>523169.30708717846</x:v>
      </x:c>
    </x:row>
    <x:row r="15">
      <x:c r="A15" t="n">
        <x:v>14</x:v>
      </x:c>
      <x:c r="B15" s="6" t="n">
        <x:f>MAX(0,B14-E14)</x:f>
        <x:v>13588519.609897356</x:v>
      </x:c>
      <x:c r="C15" s="6" t="n">
        <x:f>'Параметры'!$B$6</x:f>
        <x:v>664286.1962570238</x:v>
      </x:c>
      <x:c r="D15" s="6" t="n">
        <x:f>B15*'Параметры'!$B$4/12</x:f>
        <x:v>135885.19609897357</x:v>
      </x:c>
      <x:c r="E15" s="6" t="n">
        <x:f>C15-D15</x:f>
        <x:v>528401.0001580503</x:v>
      </x:c>
    </x:row>
    <x:row r="16">
      <x:c r="A16" t="n">
        <x:v>15</x:v>
      </x:c>
      <x:c r="B16" s="6" t="n">
        <x:f>MAX(0,B15-E15)</x:f>
        <x:v>13060118.609739305</x:v>
      </x:c>
      <x:c r="C16" s="6" t="n">
        <x:f>'Параметры'!$B$6</x:f>
        <x:v>664286.1962570238</x:v>
      </x:c>
      <x:c r="D16" s="6" t="n">
        <x:f>B16*'Параметры'!$B$4/12</x:f>
        <x:v>130601.18609739305</x:v>
      </x:c>
      <x:c r="E16" s="6" t="n">
        <x:f>C16-D16</x:f>
        <x:v>533685.0101596308</x:v>
      </x:c>
    </x:row>
    <x:row r="17">
      <x:c r="A17" t="n">
        <x:v>16</x:v>
      </x:c>
      <x:c r="B17" s="6" t="n">
        <x:f>MAX(0,B16-E16)</x:f>
        <x:v>12526433.599579675</x:v>
      </x:c>
      <x:c r="C17" s="6" t="n">
        <x:f>'Параметры'!$B$6</x:f>
        <x:v>664286.1962570238</x:v>
      </x:c>
      <x:c r="D17" s="6" t="n">
        <x:f>B17*'Параметры'!$B$4/12</x:f>
        <x:v>125264.33599579673</x:v>
      </x:c>
      <x:c r="E17" s="6" t="n">
        <x:f>C17-D17</x:f>
        <x:v>539021.8602612271</x:v>
      </x:c>
    </x:row>
    <x:row r="18">
      <x:c r="A18" t="n">
        <x:v>17</x:v>
      </x:c>
      <x:c r="B18" s="6" t="n">
        <x:f>MAX(0,B17-E17)</x:f>
        <x:v>11987411.739318447</x:v>
      </x:c>
      <x:c r="C18" s="6" t="n">
        <x:f>'Параметры'!$B$6</x:f>
        <x:v>664286.1962570238</x:v>
      </x:c>
      <x:c r="D18" s="6" t="n">
        <x:f>B18*'Параметры'!$B$4/12</x:f>
        <x:v>119874.11739318447</x:v>
      </x:c>
      <x:c r="E18" s="6" t="n">
        <x:f>C18-D18</x:f>
        <x:v>544412.0788638394</x:v>
      </x:c>
    </x:row>
    <x:row r="19">
      <x:c r="A19" t="n">
        <x:v>18</x:v>
      </x:c>
      <x:c r="B19" s="6" t="n">
        <x:f>MAX(0,B18-E18)</x:f>
        <x:v>11442999.660454609</x:v>
      </x:c>
      <x:c r="C19" s="6" t="n">
        <x:f>'Параметры'!$B$6</x:f>
        <x:v>664286.1962570238</x:v>
      </x:c>
      <x:c r="D19" s="6" t="n">
        <x:f>B19*'Параметры'!$B$4/12</x:f>
        <x:v>114429.99660454609</x:v>
      </x:c>
      <x:c r="E19" s="6" t="n">
        <x:f>C19-D19</x:f>
        <x:v>549856.1996524777</x:v>
      </x:c>
    </x:row>
    <x:row r="20">
      <x:c r="A20" t="n">
        <x:v>19</x:v>
      </x:c>
      <x:c r="B20" s="6" t="n">
        <x:f>MAX(0,B19-E19)</x:f>
        <x:v>10893143.46080213</x:v>
      </x:c>
      <x:c r="C20" s="6" t="n">
        <x:f>'Параметры'!$B$6</x:f>
        <x:v>664286.1962570238</x:v>
      </x:c>
      <x:c r="D20" s="6" t="n">
        <x:f>B20*'Параметры'!$B$4/12</x:f>
        <x:v>108931.4346080213</x:v>
      </x:c>
      <x:c r="E20" s="6" t="n">
        <x:f>C20-D20</x:f>
        <x:v>555354.7616490026</x:v>
      </x:c>
    </x:row>
    <x:row r="21">
      <x:c r="A21" t="n">
        <x:v>20</x:v>
      </x:c>
      <x:c r="B21" s="6" t="n">
        <x:f>MAX(0,B20-E20)</x:f>
        <x:v>10337788.699153127</x:v>
      </x:c>
      <x:c r="C21" s="6" t="n">
        <x:f>'Параметры'!$B$6</x:f>
        <x:v>664286.1962570238</x:v>
      </x:c>
      <x:c r="D21" s="6" t="n">
        <x:f>B21*'Параметры'!$B$4/12</x:f>
        <x:v>103377.88699153125</x:v>
      </x:c>
      <x:c r="E21" s="6" t="n">
        <x:f>C21-D21</x:f>
        <x:v>560908.3092654926</x:v>
      </x:c>
    </x:row>
    <x:row r="22">
      <x:c r="A22" t="n">
        <x:v>21</x:v>
      </x:c>
      <x:c r="B22" s="6" t="n">
        <x:f>MAX(0,B21-E21)</x:f>
        <x:v>9776880.389887635</x:v>
      </x:c>
      <x:c r="C22" s="6" t="n">
        <x:f>'Параметры'!$B$6</x:f>
        <x:v>664286.1962570238</x:v>
      </x:c>
      <x:c r="D22" s="6" t="n">
        <x:f>B22*'Параметры'!$B$4/12</x:f>
        <x:v>97768.80389887634</x:v>
      </x:c>
      <x:c r="E22" s="6" t="n">
        <x:f>C22-D22</x:f>
        <x:v>566517.3923581475</x:v>
      </x:c>
    </x:row>
    <x:row r="23">
      <x:c r="A23" t="n">
        <x:v>22</x:v>
      </x:c>
      <x:c r="B23" s="6" t="n">
        <x:f>MAX(0,B22-E22)</x:f>
        <x:v>9210362.997529488</x:v>
      </x:c>
      <x:c r="C23" s="6" t="n">
        <x:f>'Параметры'!$B$6</x:f>
        <x:v>664286.1962570238</x:v>
      </x:c>
      <x:c r="D23" s="6" t="n">
        <x:f>B23*'Параметры'!$B$4/12</x:f>
        <x:v>92103.62997529487</x:v>
      </x:c>
      <x:c r="E23" s="6" t="n">
        <x:f>C23-D23</x:f>
        <x:v>572182.5662817289</x:v>
      </x:c>
    </x:row>
    <x:row r="24">
      <x:c r="A24" t="n">
        <x:v>23</x:v>
      </x:c>
      <x:c r="B24" s="6" t="n">
        <x:f>MAX(0,B23-E23)</x:f>
        <x:v>8638180.43124776</x:v>
      </x:c>
      <x:c r="C24" s="6" t="n">
        <x:f>'Параметры'!$B$6</x:f>
        <x:v>664286.1962570238</x:v>
      </x:c>
      <x:c r="D24" s="6" t="n">
        <x:f>B24*'Параметры'!$B$4/12</x:f>
        <x:v>86381.8043124776</x:v>
      </x:c>
      <x:c r="E24" s="6" t="n">
        <x:f>C24-D24</x:f>
        <x:v>577904.3919445463</x:v>
      </x:c>
    </x:row>
    <x:row r="25">
      <x:c r="A25" t="n">
        <x:v>24</x:v>
      </x:c>
      <x:c r="B25" s="6" t="n">
        <x:f>MAX(0,B24-E24)</x:f>
        <x:v>8060276.039303213</x:v>
      </x:c>
      <x:c r="C25" s="6" t="n">
        <x:f>'Параметры'!$B$6</x:f>
        <x:v>664286.1962570238</x:v>
      </x:c>
      <x:c r="D25" s="6" t="n">
        <x:f>B25*'Параметры'!$B$4/12</x:f>
        <x:v>80602.76039303213</x:v>
      </x:c>
      <x:c r="E25" s="6" t="n">
        <x:f>C25-D25</x:f>
        <x:v>583683.4358639917</x:v>
      </x:c>
    </x:row>
    <x:row r="26">
      <x:c r="A26" t="n">
        <x:v>25</x:v>
      </x:c>
      <x:c r="B26" s="6" t="n">
        <x:f>MAX(0,B25-E25)</x:f>
        <x:v>7476592.603439221</x:v>
      </x:c>
      <x:c r="C26" s="6" t="n">
        <x:f>'Параметры'!$B$6</x:f>
        <x:v>664286.1962570238</x:v>
      </x:c>
      <x:c r="D26" s="6" t="n">
        <x:f>B26*'Параметры'!$B$4/12</x:f>
        <x:v>74765.9260343922</x:v>
      </x:c>
      <x:c r="E26" s="6" t="n">
        <x:f>C26-D26</x:f>
        <x:v>589520.2702226316</x:v>
      </x:c>
    </x:row>
    <x:row r="27">
      <x:c r="A27" t="n">
        <x:v>26</x:v>
      </x:c>
      <x:c r="B27" s="6" t="n">
        <x:f>MAX(0,B26-E26)</x:f>
        <x:v>6887072.33321659</x:v>
      </x:c>
      <x:c r="C27" s="6" t="n">
        <x:f>'Параметры'!$B$6</x:f>
        <x:v>664286.1962570238</x:v>
      </x:c>
      <x:c r="D27" s="6" t="n">
        <x:f>B27*'Параметры'!$B$4/12</x:f>
        <x:v>68870.7233321659</x:v>
      </x:c>
      <x:c r="E27" s="6" t="n">
        <x:f>C27-D27</x:f>
        <x:v>595415.472924858</x:v>
      </x:c>
    </x:row>
    <x:row r="28">
      <x:c r="A28" t="n">
        <x:v>27</x:v>
      </x:c>
      <x:c r="B28" s="6" t="n">
        <x:f>MAX(0,B27-E27)</x:f>
        <x:v>6291656.860291732</x:v>
      </x:c>
      <x:c r="C28" s="6" t="n">
        <x:f>'Параметры'!$B$6</x:f>
        <x:v>664286.1962570238</x:v>
      </x:c>
      <x:c r="D28" s="6" t="n">
        <x:f>B28*'Параметры'!$B$4/12</x:f>
        <x:v>62916.56860291731</x:v>
      </x:c>
      <x:c r="E28" s="6" t="n">
        <x:f>C28-D28</x:f>
        <x:v>601369.6276541066</x:v>
      </x:c>
    </x:row>
    <x:row r="29">
      <x:c r="A29" t="n">
        <x:v>28</x:v>
      </x:c>
      <x:c r="B29" s="6" t="n">
        <x:f>MAX(0,B28-E28)</x:f>
        <x:v>5690287.232637625</x:v>
      </x:c>
      <x:c r="C29" s="6" t="n">
        <x:f>'Параметры'!$B$6</x:f>
        <x:v>664286.1962570238</x:v>
      </x:c>
      <x:c r="D29" s="6" t="n">
        <x:f>B29*'Параметры'!$B$4/12</x:f>
        <x:v>56902.872326376244</x:v>
      </x:c>
      <x:c r="E29" s="6" t="n">
        <x:f>C29-D29</x:f>
        <x:v>607383.3239306476</x:v>
      </x:c>
    </x:row>
    <x:row r="30">
      <x:c r="A30" t="n">
        <x:v>29</x:v>
      </x:c>
      <x:c r="B30" s="6" t="n">
        <x:f>MAX(0,B29-E29)</x:f>
        <x:v>5082903.908706978</x:v>
      </x:c>
      <x:c r="C30" s="6" t="n">
        <x:f>'Параметры'!$B$6</x:f>
        <x:v>664286.1962570238</x:v>
      </x:c>
      <x:c r="D30" s="6" t="n">
        <x:f>B30*'Параметры'!$B$4/12</x:f>
        <x:v>50829.039087069774</x:v>
      </x:c>
      <x:c r="E30" s="6" t="n">
        <x:f>C30-D30</x:f>
        <x:v>613457.157169954</x:v>
      </x:c>
    </x:row>
    <x:row r="31">
      <x:c r="A31" t="n">
        <x:v>30</x:v>
      </x:c>
      <x:c r="B31" s="6" t="n">
        <x:f>MAX(0,B30-E30)</x:f>
        <x:v>4469446.751537024</x:v>
      </x:c>
      <x:c r="C31" s="6" t="n">
        <x:f>'Параметры'!$B$6</x:f>
        <x:v>664286.1962570238</x:v>
      </x:c>
      <x:c r="D31" s="6" t="n">
        <x:f>B31*'Параметры'!$B$4/12</x:f>
        <x:v>44694.467515370234</x:v>
      </x:c>
      <x:c r="E31" s="6" t="n">
        <x:f>C31-D31</x:f>
        <x:v>619591.7287416536</x:v>
      </x:c>
    </x:row>
    <x:row r="32">
      <x:c r="A32" t="n">
        <x:v>31</x:v>
      </x:c>
      <x:c r="B32" s="6" t="n">
        <x:f>MAX(0,B31-E31)</x:f>
        <x:v>3849855.0227953703</x:v>
      </x:c>
      <x:c r="C32" s="6" t="n">
        <x:f>'Параметры'!$B$6</x:f>
        <x:v>664286.1962570238</x:v>
      </x:c>
      <x:c r="D32" s="6" t="n">
        <x:f>B32*'Параметры'!$B$4/12</x:f>
        <x:v>38498.5502279537</x:v>
      </x:c>
      <x:c r="E32" s="6" t="n">
        <x:f>C32-D32</x:f>
        <x:v>625787.6460290701</x:v>
      </x:c>
    </x:row>
    <x:row r="33">
      <x:c r="A33" t="n">
        <x:v>32</x:v>
      </x:c>
      <x:c r="B33" s="6" t="n">
        <x:f>MAX(0,B32-E32)</x:f>
        <x:v>3224067.3767663003</x:v>
      </x:c>
      <x:c r="C33" s="6" t="n">
        <x:f>'Параметры'!$B$6</x:f>
        <x:v>664286.1962570238</x:v>
      </x:c>
      <x:c r="D33" s="6" t="n">
        <x:f>B33*'Параметры'!$B$4/12</x:f>
        <x:v>32240.673767663</x:v>
      </x:c>
      <x:c r="E33" s="6" t="n">
        <x:f>C33-D33</x:f>
        <x:v>632045.5224893609</x:v>
      </x:c>
    </x:row>
    <x:row r="34">
      <x:c r="A34" t="n">
        <x:v>33</x:v>
      </x:c>
      <x:c r="B34" s="6" t="n">
        <x:f>MAX(0,B33-E33)</x:f>
        <x:v>2592021.8542769393</x:v>
      </x:c>
      <x:c r="C34" s="6" t="n">
        <x:f>'Параметры'!$B$6</x:f>
        <x:v>664286.1962570238</x:v>
      </x:c>
      <x:c r="D34" s="6" t="n">
        <x:f>B34*'Параметры'!$B$4/12</x:f>
        <x:v>25920.21854276939</x:v>
      </x:c>
      <x:c r="E34" s="6" t="n">
        <x:f>C34-D34</x:f>
        <x:v>638365.9777142544</x:v>
      </x:c>
    </x:row>
    <x:row r="35">
      <x:c r="A35" t="n">
        <x:v>34</x:v>
      </x:c>
      <x:c r="B35" s="6" t="n">
        <x:f>MAX(0,B34-E34)</x:f>
        <x:v>1953655.8765626848</x:v>
      </x:c>
      <x:c r="C35" s="6" t="n">
        <x:f>'Параметры'!$B$6</x:f>
        <x:v>664286.1962570238</x:v>
      </x:c>
      <x:c r="D35" s="6" t="n">
        <x:f>B35*'Параметры'!$B$4/12</x:f>
        <x:v>19536.558765626847</x:v>
      </x:c>
      <x:c r="E35" s="6" t="n">
        <x:f>C35-D35</x:f>
        <x:v>644749.637491397</x:v>
      </x:c>
    </x:row>
    <x:row r="36">
      <x:c r="A36" t="n">
        <x:v>35</x:v>
      </x:c>
      <x:c r="B36" s="6" t="n">
        <x:f>MAX(0,B35-E35)</x:f>
        <x:v>1308906.2390712877</x:v>
      </x:c>
      <x:c r="C36" s="6" t="n">
        <x:f>'Параметры'!$B$6</x:f>
        <x:v>664286.1962570238</x:v>
      </x:c>
      <x:c r="D36" s="6" t="n">
        <x:f>B36*'Параметры'!$B$4/12</x:f>
        <x:v>13089.062390712876</x:v>
      </x:c>
      <x:c r="E36" s="6" t="n">
        <x:f>C36-D36</x:f>
        <x:v>651197.1338663109</x:v>
      </x:c>
    </x:row>
    <x:row r="37">
      <x:c r="A37" t="n">
        <x:v>36</x:v>
      </x:c>
      <x:c r="B37" s="6" t="n">
        <x:f>MAX(0,B36-E36)</x:f>
        <x:v>657709.1052049767</x:v>
      </x:c>
      <x:c r="C37" s="6" t="n">
        <x:f>'Параметры'!$B$6</x:f>
        <x:v>664286.1962570238</x:v>
      </x:c>
      <x:c r="D37" s="6" t="n">
        <x:f>B37*'Параметры'!$B$4/12</x:f>
        <x:v>6577.091052049767</x:v>
      </x:c>
      <x:c r="E37" s="6" t="n">
        <x:f>C37-D37</x:f>
        <x:v>657709.1052049741</x:v>
      </x:c>
    </x:row>
  </x:sheetData>
  <x:pageMargins left="0.7" right="0.7" top="0.75" bottom="0.75" header="0.3" footer="0.3"/>
</x:worksheet>
</file>