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05beff680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инансовая модель" sheetId="1" r:id="R0d22404afb31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A22"/>
      </x:patternFill>
    </x:fill>
    <x:fill>
      <x:patternFill patternType="solid">
        <x:fgColor rgb="FF19627F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3" fillId="4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e535c898f4f27" /><Relationship Type="http://schemas.openxmlformats.org/officeDocument/2006/relationships/theme" Target="/xl/theme/theme1.xml" Id="R5510923f69cf4c88" /><Relationship Type="http://schemas.openxmlformats.org/officeDocument/2006/relationships/sharedStrings" Target="/xl/sharedStrings.xml" Id="R166a0917e3dd42bf" /><Relationship Type="http://schemas.openxmlformats.org/officeDocument/2006/relationships/worksheet" Target="/xl/worksheets/sheet1.xml" Id="R0d22404afb31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8.670000076293945" hidden="0" customWidth="1"/>
    <x:col min="3" max="3" width="8.670000076293945" hidden="0" customWidth="1"/>
    <x:col min="4" max="4" width="8.670000076293945" hidden="0" customWidth="1"/>
    <x:col min="5" max="5" width="8.670000076293945" hidden="0" customWidth="1"/>
    <x:col min="6" max="6" width="8.670000076293945" hidden="0" customWidth="1"/>
  </x:cols>
  <x:sheetData>
    <x:row r="1">
      <x:c r="A1" s="2" t="str">
        <x:v>ФИНАНСОВАЯ МОДЕЛЬ ПРОЕКТА</x:v>
      </x:c>
      <x:c r="B1" s="2"/>
      <x:c r="C1" s="2"/>
      <x:c r="D1" s="2"/>
      <x:c r="E1" s="2"/>
      <x:c r="F1" s="2"/>
    </x:row>
    <x:row r="3">
      <x:c r="A3" s="4" t="str">
        <x:v>Показатель</x:v>
      </x:c>
      <x:c r="B3" s="4" t="str">
        <x:v>Год 1</x:v>
      </x:c>
      <x:c r="C3" s="4" t="str">
        <x:v>Год 2</x:v>
      </x:c>
      <x:c r="D3" s="4" t="str">
        <x:v>Год 3</x:v>
      </x:c>
      <x:c r="E3" s="4" t="str">
        <x:v>Год 4</x:v>
      </x:c>
      <x:c r="F3" s="4" t="str">
        <x:v>Год 5</x:v>
      </x:c>
    </x:row>
    <x:row r="4">
      <x:c r="A4" t="str">
        <x:v>Выручка, ₸</x:v>
      </x:c>
      <x:c r="B4" s="7" t="n">
        <x:v>30000000</x:v>
      </x:c>
      <x:c r="C4" s="7" t="n">
        <x:v>39000000</x:v>
      </x:c>
      <x:c r="D4" s="7" t="n">
        <x:v>46800000</x:v>
      </x:c>
      <x:c r="E4" s="7" t="n">
        <x:v>53820000</x:v>
      </x:c>
      <x:c r="F4" s="7" t="n">
        <x:v>59100000</x:v>
      </x:c>
    </x:row>
    <x:row r="5">
      <x:c r="A5" t="str">
        <x:v>Рост выручки</x:v>
      </x:c>
      <x:c r="B5" s="9"/>
      <x:c r="C5" s="9" t="n">
        <x:v>0.3</x:v>
      </x:c>
      <x:c r="D5" s="9" t="n">
        <x:v>0.2</x:v>
      </x:c>
      <x:c r="E5" s="9" t="n">
        <x:v>0.15</x:v>
      </x:c>
      <x:c r="F5" s="9" t="n">
        <x:v>0.1</x:v>
      </x:c>
    </x:row>
    <x:row r="6">
      <x:c r="A6" t="str">
        <x:v>Себестоимость, ₸</x:v>
      </x:c>
      <x:c r="B6" s="7" t="n">
        <x:v>18000000</x:v>
      </x:c>
      <x:c r="C6" s="7" t="n">
        <x:v>22620000</x:v>
      </x:c>
      <x:c r="D6" s="7" t="n">
        <x:v>26676000</x:v>
      </x:c>
      <x:c r="E6" s="7" t="n">
        <x:v>30139200</x:v>
      </x:c>
      <x:c r="F6" s="7" t="n">
        <x:v>32550200</x:v>
      </x:c>
    </x:row>
    <x:row r="7">
      <x:c r="A7" t="str">
        <x:v>Операционные расходы, ₸</x:v>
      </x:c>
      <x:c r="B7" s="7" t="n">
        <x:v>6000000</x:v>
      </x:c>
      <x:c r="C7" s="7" t="n">
        <x:v>6600000</x:v>
      </x:c>
      <x:c r="D7" s="7" t="n">
        <x:v>7260000</x:v>
      </x:c>
      <x:c r="E7" s="7" t="n">
        <x:v>7986000</x:v>
      </x:c>
      <x:c r="F7" s="7" t="n">
        <x:v>8784600</x:v>
      </x:c>
    </x:row>
    <x:row r="8">
      <x:c r="A8" t="str">
        <x:v>EBITDA, ₸</x:v>
      </x:c>
      <x:c r="B8" s="8" t="n">
        <x:f>B4-B6-B7</x:f>
        <x:v>6000000</x:v>
      </x:c>
      <x:c r="C8" s="8" t="n">
        <x:f>C4-C6-C7</x:f>
        <x:v>9780000</x:v>
      </x:c>
      <x:c r="D8" s="8" t="n">
        <x:f>D4-D6-D7</x:f>
        <x:v>12864000</x:v>
      </x:c>
      <x:c r="E8" s="8" t="n">
        <x:f>E4-E6-E7</x:f>
        <x:v>15694800</x:v>
      </x:c>
      <x:c r="F8" s="8" t="n">
        <x:f>F4-F6-F7</x:f>
        <x:v>17765200</x:v>
      </x:c>
    </x:row>
    <x:row r="9">
      <x:c r="A9" t="str">
        <x:v>EBITDA margin</x:v>
      </x:c>
      <x:c r="B9" s="10" t="n">
        <x:f>B8/B4</x:f>
        <x:v>0.2</x:v>
      </x:c>
      <x:c r="C9" s="10" t="n">
        <x:f>C8/C4</x:f>
        <x:v>0.25076923076923074</x:v>
      </x:c>
      <x:c r="D9" s="10" t="n">
        <x:f>D8/D4</x:f>
        <x:v>0.27487179487179486</x:v>
      </x:c>
      <x:c r="E9" s="10" t="n">
        <x:f>E8/E4</x:f>
        <x:v>0.2916164994425864</x:v>
      </x:c>
      <x:c r="F9" s="10" t="n">
        <x:f>F8/F4</x:f>
        <x:v>0.30059560067681895</x:v>
      </x:c>
    </x:row>
    <x:row r="10">
      <x:c r="A10" t="str">
        <x:v>CAPEX, ₸</x:v>
      </x:c>
      <x:c r="B10" s="8" t="n">
        <x:v>12000000</x:v>
      </x:c>
      <x:c r="C10" s="8" t="n">
        <x:v>2000000</x:v>
      </x:c>
      <x:c r="D10" s="8" t="n">
        <x:v>2000000</x:v>
      </x:c>
      <x:c r="E10" s="8" t="n">
        <x:v>2500000</x:v>
      </x:c>
      <x:c r="F10" s="8" t="n">
        <x:v>2500000</x:v>
      </x:c>
    </x:row>
    <x:row r="11">
      <x:c r="A11" t="str">
        <x:v>Денежный поток до долга, ₸</x:v>
      </x:c>
      <x:c r="B11" s="8" t="n">
        <x:f>B8-B10</x:f>
        <x:v>-6000000</x:v>
      </x:c>
      <x:c r="C11" s="8" t="n">
        <x:f>C8-C10</x:f>
        <x:v>7780000</x:v>
      </x:c>
      <x:c r="D11" s="8" t="n">
        <x:f>D8-D10</x:f>
        <x:v>10864000</x:v>
      </x:c>
      <x:c r="E11" s="8" t="n">
        <x:f>E8-E10</x:f>
        <x:v>13194800</x:v>
      </x:c>
      <x:c r="F11" s="8" t="n">
        <x:f>F8-F10</x:f>
        <x:v>15265200</x:v>
      </x:c>
    </x:row>
  </x:sheetData>
  <x:mergeCells>
    <x:mergeCell ref="A1:F1"/>
  </x:mergeCells>
  <x:pageMargins left="0.7" right="0.7" top="0.75" bottom="0.75" header="0.3" footer="0.3"/>
</x:worksheet>
</file>